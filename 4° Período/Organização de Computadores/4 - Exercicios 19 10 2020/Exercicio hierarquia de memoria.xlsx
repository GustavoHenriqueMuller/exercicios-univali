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ustavo\Desktop\"/>
    </mc:Choice>
  </mc:AlternateContent>
  <bookViews>
    <workbookView xWindow="0" yWindow="0" windowWidth="215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1" l="1"/>
  <c r="B20" i="1"/>
  <c r="B21" i="1"/>
  <c r="B22" i="1"/>
  <c r="B6" i="1"/>
  <c r="B7" i="1"/>
</calcChain>
</file>

<file path=xl/sharedStrings.xml><?xml version="1.0" encoding="utf-8"?>
<sst xmlns="http://schemas.openxmlformats.org/spreadsheetml/2006/main" count="30" uniqueCount="29">
  <si>
    <t>Tempo de 1 acesso</t>
  </si>
  <si>
    <t>Equivalência</t>
  </si>
  <si>
    <t>CACHE</t>
  </si>
  <si>
    <t>3ns</t>
  </si>
  <si>
    <t>RAM</t>
  </si>
  <si>
    <t>7ns</t>
  </si>
  <si>
    <t>DISCO</t>
  </si>
  <si>
    <t>Tmedio Disco/RAM</t>
  </si>
  <si>
    <t>Tmedio RAM/CACHE</t>
  </si>
  <si>
    <t>1x10^-3</t>
  </si>
  <si>
    <t>1x10^-6</t>
  </si>
  <si>
    <t>1x10^-9</t>
  </si>
  <si>
    <t>1x10^-12</t>
  </si>
  <si>
    <t>1 mili</t>
  </si>
  <si>
    <t>1 micro</t>
  </si>
  <si>
    <t>1 nano</t>
  </si>
  <si>
    <t>1 pico</t>
  </si>
  <si>
    <t>5000000ns</t>
  </si>
  <si>
    <t>ns</t>
  </si>
  <si>
    <t>HD/SSD</t>
  </si>
  <si>
    <t>RAM/SSD</t>
  </si>
  <si>
    <t>L2/RAM</t>
  </si>
  <si>
    <t>L1/L2</t>
  </si>
  <si>
    <t>a) quão bem a hierarquia se comporta com l1 e sem l1?</t>
  </si>
  <si>
    <t>com =&gt; ~11, sem =&gt; ~263</t>
  </si>
  <si>
    <t>b) voce recomendaria a extinção do l1, se isso representasse alguma economia no projeto?</t>
  </si>
  <si>
    <t>talvez, pois a diferença entre l2 e l1 não é tão grande quanto ram/l2 ou ssd/ram</t>
  </si>
  <si>
    <t>c) como fica a media quando se remove o ssd?</t>
  </si>
  <si>
    <t>=========================================================================================================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</si>
</sst>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topLeftCell="A10" zoomScale="130" zoomScaleNormal="130" workbookViewId="0">
      <selection activeCell="D29" sqref="D29"/>
    </sheetView>
  </sheetViews>
  <sheetFormatPr defaultColWidth="35.85546875" defaultRowHeight="20.25" customHeight="1" x14ac:dyDescent="0.35"/>
  <cols>
    <col min="1" max="16384" width="35.85546875" style="4"/>
  </cols>
  <sheetData>
    <row r="1" spans="1:4" ht="20.25" customHeight="1" x14ac:dyDescent="0.35">
      <c r="A1" s="1"/>
      <c r="B1" s="1" t="s">
        <v>0</v>
      </c>
      <c r="C1" s="1"/>
      <c r="D1" s="1" t="s">
        <v>1</v>
      </c>
    </row>
    <row r="2" spans="1:4" ht="20.25" customHeight="1" x14ac:dyDescent="0.35">
      <c r="A2" s="1" t="s">
        <v>2</v>
      </c>
      <c r="B2" s="1" t="s">
        <v>3</v>
      </c>
      <c r="C2" s="2">
        <v>0.96</v>
      </c>
      <c r="D2" s="1"/>
    </row>
    <row r="3" spans="1:4" ht="20.25" customHeight="1" x14ac:dyDescent="0.35">
      <c r="A3" s="1" t="s">
        <v>4</v>
      </c>
      <c r="B3" s="1" t="s">
        <v>5</v>
      </c>
      <c r="C3" s="3">
        <v>0.98499999999999999</v>
      </c>
      <c r="D3" s="1"/>
    </row>
    <row r="4" spans="1:4" ht="20.25" customHeight="1" x14ac:dyDescent="0.35">
      <c r="A4" s="1" t="s">
        <v>6</v>
      </c>
      <c r="B4" s="1" t="s">
        <v>17</v>
      </c>
      <c r="C4" s="2">
        <v>1</v>
      </c>
      <c r="D4" s="1"/>
    </row>
    <row r="5" spans="1:4" ht="20.25" customHeight="1" x14ac:dyDescent="0.35">
      <c r="A5" s="1"/>
      <c r="B5" s="1"/>
      <c r="C5" s="1"/>
      <c r="D5" s="1"/>
    </row>
    <row r="6" spans="1:4" ht="20.25" customHeight="1" x14ac:dyDescent="0.35">
      <c r="A6" s="1" t="s">
        <v>7</v>
      </c>
      <c r="B6" s="1">
        <f>(7*0.985)+(5000000*0.025)</f>
        <v>125006.895</v>
      </c>
      <c r="C6" s="1" t="s">
        <v>18</v>
      </c>
      <c r="D6" s="1"/>
    </row>
    <row r="7" spans="1:4" ht="20.25" customHeight="1" x14ac:dyDescent="0.35">
      <c r="A7" s="1" t="s">
        <v>8</v>
      </c>
      <c r="B7" s="1">
        <f>(3*0.96) +(B6*0.04)</f>
        <v>5003.1558000000005</v>
      </c>
      <c r="C7" s="1" t="s">
        <v>18</v>
      </c>
      <c r="D7" s="1"/>
    </row>
    <row r="8" spans="1:4" ht="20.25" customHeight="1" x14ac:dyDescent="0.35">
      <c r="A8" s="1"/>
      <c r="B8" s="1"/>
      <c r="C8" s="1"/>
      <c r="D8" s="1"/>
    </row>
    <row r="9" spans="1:4" ht="20.25" customHeight="1" x14ac:dyDescent="0.35">
      <c r="A9" s="1"/>
      <c r="B9" s="1"/>
      <c r="C9" s="1"/>
      <c r="D9" s="1"/>
    </row>
    <row r="10" spans="1:4" ht="20.25" customHeight="1" x14ac:dyDescent="0.35">
      <c r="A10" s="1"/>
      <c r="B10" s="1"/>
      <c r="C10" s="1"/>
      <c r="D10" s="1"/>
    </row>
    <row r="11" spans="1:4" ht="20.25" customHeight="1" x14ac:dyDescent="0.35">
      <c r="A11" s="1"/>
      <c r="B11" s="1"/>
      <c r="C11" s="1"/>
      <c r="D11" s="1"/>
    </row>
    <row r="12" spans="1:4" ht="20.25" customHeight="1" x14ac:dyDescent="0.35">
      <c r="A12" s="1" t="s">
        <v>9</v>
      </c>
      <c r="B12" s="1" t="s">
        <v>10</v>
      </c>
      <c r="C12" s="1" t="s">
        <v>11</v>
      </c>
      <c r="D12" s="1" t="s">
        <v>12</v>
      </c>
    </row>
    <row r="13" spans="1:4" ht="20.25" customHeight="1" x14ac:dyDescent="0.35">
      <c r="A13" s="1" t="s">
        <v>13</v>
      </c>
      <c r="B13" s="1" t="s">
        <v>14</v>
      </c>
      <c r="C13" s="1" t="s">
        <v>15</v>
      </c>
      <c r="D13" s="1" t="s">
        <v>16</v>
      </c>
    </row>
    <row r="15" spans="1:4" ht="20.25" customHeight="1" x14ac:dyDescent="0.35">
      <c r="A15" s="5" t="s">
        <v>28</v>
      </c>
    </row>
    <row r="19" spans="1:5" ht="20.25" customHeight="1" x14ac:dyDescent="0.35">
      <c r="A19" s="4" t="s">
        <v>22</v>
      </c>
      <c r="B19" s="4">
        <f>0.5*0.96 +B20*0.04</f>
        <v>11.029832000000003</v>
      </c>
    </row>
    <row r="20" spans="1:5" ht="20.25" customHeight="1" x14ac:dyDescent="0.35">
      <c r="A20" s="4" t="s">
        <v>21</v>
      </c>
      <c r="B20" s="4">
        <f>2*0.97 +B21*0.03</f>
        <v>263.74580000000003</v>
      </c>
    </row>
    <row r="21" spans="1:5" ht="20.25" customHeight="1" x14ac:dyDescent="0.35">
      <c r="A21" s="4" t="s">
        <v>20</v>
      </c>
      <c r="B21" s="4">
        <f xml:space="preserve"> 7*0.98 + B22*0.02</f>
        <v>8726.86</v>
      </c>
    </row>
    <row r="22" spans="1:5" ht="20.25" customHeight="1" x14ac:dyDescent="0.35">
      <c r="A22" s="4" t="s">
        <v>19</v>
      </c>
      <c r="B22" s="4">
        <f xml:space="preserve"> (400000*0.99) + (4000000 * 0.01)</f>
        <v>436000</v>
      </c>
    </row>
    <row r="24" spans="1:5" ht="20.25" customHeight="1" x14ac:dyDescent="0.35">
      <c r="A24" s="4" t="s">
        <v>23</v>
      </c>
      <c r="D24" s="4" t="s">
        <v>24</v>
      </c>
    </row>
    <row r="25" spans="1:5" ht="20.25" customHeight="1" x14ac:dyDescent="0.35">
      <c r="A25" s="4" t="s">
        <v>25</v>
      </c>
      <c r="E25" s="4" t="s">
        <v>26</v>
      </c>
    </row>
    <row r="26" spans="1:5" ht="20.25" customHeight="1" x14ac:dyDescent="0.35">
      <c r="A26" s="4" t="s">
        <v>27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Gustavo</cp:lastModifiedBy>
  <dcterms:created xsi:type="dcterms:W3CDTF">2020-10-08T22:39:36Z</dcterms:created>
  <dcterms:modified xsi:type="dcterms:W3CDTF">2020-10-08T23:09:58Z</dcterms:modified>
</cp:coreProperties>
</file>